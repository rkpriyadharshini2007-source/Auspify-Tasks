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ights" sheetId="1" state="visible" r:id="rId3"/>
    <sheet name="Ratings" sheetId="2" state="visible" r:id="rId4"/>
    <sheet name="Audience Groups" sheetId="3" state="visible" r:id="rId5"/>
    <sheet name="Genres" sheetId="4" state="visible" r:id="rId6"/>
    <sheet name="Yearly 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<sst xmlns="http://schemas.openxmlformats.org/spreadsheetml/2006/main" count="124" uniqueCount="90">
  <si>
    <t xml:space="preserve">Content rating &amp; genre analysis: audience insights</t>
  </si>
  <si>
    <t xml:space="preserve">Source: Dataset.csv, 8,790 titles (6,126 movies, 2,664 TV shows). Live figures are on the other tabs.</t>
  </si>
  <si>
    <t xml:space="preserve">Metric</t>
  </si>
  <si>
    <t xml:space="preserve">Value</t>
  </si>
  <si>
    <t xml:space="preserve">Total titles</t>
  </si>
  <si>
    <t xml:space="preserve">Movies</t>
  </si>
  <si>
    <t xml:space="preserve">TV shows</t>
  </si>
  <si>
    <t xml:space="preserve">Adults share</t>
  </si>
  <si>
    <t xml:space="preserve">Teens share</t>
  </si>
  <si>
    <t xml:space="preserve">Family share</t>
  </si>
  <si>
    <t xml:space="preserve">Kids share</t>
  </si>
  <si>
    <t xml:space="preserve">Kids share, TV shows</t>
  </si>
  <si>
    <t xml:space="preserve">Kids share, movies</t>
  </si>
  <si>
    <t xml:space="preserve">TV-MA + TV-14 share</t>
  </si>
  <si>
    <t xml:space="preserve">Key findings</t>
  </si>
  <si>
    <t xml:space="preserve">1. Adults are the largest audience (45.6%). TV-MA alone is 3,205 titles; with Teens (30.1%), about three in four titles target viewers 14 and over.</t>
  </si>
  <si>
    <t xml:space="preserve">2. Kids content is small but TV-led: 17.4% of TV shows are Kids-rated versus 7.2% of movies. Kids' TV is 91% Kids-rated.</t>
  </si>
  <si>
    <t xml:space="preserve">3. The family middle (PG, TV-PG) is thin at 13.1%. Documentaries (22%) and Docuseries (25%) lean toward it more than most adult genres.</t>
  </si>
  <si>
    <t xml:space="preserve">4. Romantic Movies (48%) and International Movies (41%) skew Teens, above the 30% average.</t>
  </si>
  <si>
    <t xml:space="preserve">5. Crime TV Shows (75%), Independent Movies (71%) and Thrillers (68%) skew Adults and carry the TV-MA and R volume.</t>
  </si>
  <si>
    <t xml:space="preserve">6. Dramas (3,188 incl. TV Dramas) and Comedies (2,247) are the broadest genres, spread across Teens, Adults and Family.</t>
  </si>
  <si>
    <t xml:space="preserve">7. NR and UR labels cover 82 titles and none were added after 2019, so newer content is almost always rated.</t>
  </si>
  <si>
    <t xml:space="preserve">8. Additions peaked in 2019 for Adults, Teens and Family and in 2020 for Kids; the 2021 drop reflects a partial year.</t>
  </si>
  <si>
    <t xml:space="preserve">Rating distribution by content type</t>
  </si>
  <si>
    <t xml:space="preserve">Blue = counts taken from Dataset.csv (8,790 titles). Black = formulas.</t>
  </si>
  <si>
    <t xml:space="preserve">Rating</t>
  </si>
  <si>
    <t xml:space="preserve">Audience group</t>
  </si>
  <si>
    <t xml:space="preserve">TV Shows</t>
  </si>
  <si>
    <t xml:space="preserve">Total</t>
  </si>
  <si>
    <t xml:space="preserve">% of all titles</t>
  </si>
  <si>
    <t xml:space="preserve">TV-Y</t>
  </si>
  <si>
    <t xml:space="preserve">Kids</t>
  </si>
  <si>
    <t xml:space="preserve">TV-Y7</t>
  </si>
  <si>
    <t xml:space="preserve">TV-Y7-FV</t>
  </si>
  <si>
    <t xml:space="preserve">G</t>
  </si>
  <si>
    <t xml:space="preserve">TV-G</t>
  </si>
  <si>
    <t xml:space="preserve">PG</t>
  </si>
  <si>
    <t xml:space="preserve">Family</t>
  </si>
  <si>
    <t xml:space="preserve">TV-PG</t>
  </si>
  <si>
    <t xml:space="preserve">PG-13</t>
  </si>
  <si>
    <t xml:space="preserve">Teens</t>
  </si>
  <si>
    <t xml:space="preserve">TV-14</t>
  </si>
  <si>
    <t xml:space="preserve">R</t>
  </si>
  <si>
    <t xml:space="preserve">Adults</t>
  </si>
  <si>
    <t xml:space="preserve">TV-MA</t>
  </si>
  <si>
    <t xml:space="preserve">NC-17</t>
  </si>
  <si>
    <t xml:space="preserve">NR</t>
  </si>
  <si>
    <t xml:space="preserve">Unrated</t>
  </si>
  <si>
    <t xml:space="preserve">UR</t>
  </si>
  <si>
    <t xml:space="preserve">Audience groups (rating -&gt; audience)</t>
  </si>
  <si>
    <t xml:space="preserve">Kids = TV-Y, TV-Y7, TV-Y7-FV, G, TV-G | Family = PG, TV-PG | Teens = PG-13, TV-14 | Adults = R, TV-MA, NC-17 | Unrated = NR, UR. Grouping is my assumption.</t>
  </si>
  <si>
    <t xml:space="preserve">Audience</t>
  </si>
  <si>
    <t xml:space="preserve">% of all</t>
  </si>
  <si>
    <t xml:space="preserve">% of movies</t>
  </si>
  <si>
    <t xml:space="preserve">% of TV shows</t>
  </si>
  <si>
    <t xml:space="preserve">Movies vs TV gap (percentage points, TV minus Movies)</t>
  </si>
  <si>
    <t xml:space="preserve">Gap (pp)</t>
  </si>
  <si>
    <t xml:space="preserve">Top genres by audience group (movies + TV combined)</t>
  </si>
  <si>
    <t xml:space="preserve">Movie and TV genre names merged (e.g. Dramas includes TV Dramas). A title with several genres counts once per genre, so totals exceed 8,790. Blue = counts.</t>
  </si>
  <si>
    <t xml:space="preserve">Genre</t>
  </si>
  <si>
    <t xml:space="preserve">Kids %</t>
  </si>
  <si>
    <t xml:space="preserve">Family %</t>
  </si>
  <si>
    <t xml:space="preserve">Teens %</t>
  </si>
  <si>
    <t xml:space="preserve">Adults %</t>
  </si>
  <si>
    <t xml:space="preserve">Unrated %</t>
  </si>
  <si>
    <t xml:space="preserve">Dramas</t>
  </si>
  <si>
    <t xml:space="preserve">International Movies</t>
  </si>
  <si>
    <t xml:space="preserve">Comedies</t>
  </si>
  <si>
    <t xml:space="preserve">International TV Shows</t>
  </si>
  <si>
    <t xml:space="preserve">Action &amp; Adventure</t>
  </si>
  <si>
    <t xml:space="preserve">Documentaries</t>
  </si>
  <si>
    <t xml:space="preserve">Independent Movies</t>
  </si>
  <si>
    <t xml:space="preserve">Children &amp; Family Movies</t>
  </si>
  <si>
    <t xml:space="preserve">Thrillers</t>
  </si>
  <si>
    <t xml:space="preserve">Romantic Movies</t>
  </si>
  <si>
    <t xml:space="preserve">Crime TV Shows</t>
  </si>
  <si>
    <t xml:space="preserve">Kids' TV</t>
  </si>
  <si>
    <t xml:space="preserve">Docuseries</t>
  </si>
  <si>
    <t xml:space="preserve">Music &amp; Musicals</t>
  </si>
  <si>
    <t xml:space="preserve">Titles added per year by audience group</t>
  </si>
  <si>
    <t xml:space="preserve">Year added to the catalogue. 2021 is a partial year. Blue = counts.</t>
  </si>
  <si>
    <t xml:space="preserve">Year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</si>
  <si>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</si>
  <si>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</si>
  <si>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</si>
  <si>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</si>
  <si>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</si>
  <si>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</si>
  <si>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</si>
  <si>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Peak year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</si>
</sst>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+0.0;\-0.0;0.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D66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2330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AD3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DAD3"/>
      <rgbColor rgb="FF878787"/>
      <rgbColor rgb="FF8064A2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5D6676"/>
      <rgbColor rgb="FF9BBB59"/>
      <rgbColor rgb="FF003366"/>
      <rgbColor rgb="FF4F81BD"/>
      <rgbColor rgb="FF003300"/>
      <rgbColor rgb="FF333300"/>
      <rgbColor rgb="FF993300"/>
      <rgbColor rgb="FFC0504D"/>
      <rgbColor rgb="FF7D5FA0"/>
      <rgbColor rgb="FF1D2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Titles per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Ratings!E4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Ratings!$A$5:$A$18</c:f>
              <c:strCache>
                <c:ptCount val="14"/>
                <c:pt idx="0">
                  <c:v>TV-Y</c:v>
                </c:pt>
                <c:pt idx="1">
                  <c:v>TV-Y7</c:v>
                </c:pt>
                <c:pt idx="2">
                  <c:v>TV-Y7-FV</c:v>
                </c:pt>
                <c:pt idx="3">
                  <c:v>G</c:v>
                </c:pt>
                <c:pt idx="4">
                  <c:v>TV-G</c:v>
                </c:pt>
                <c:pt idx="5">
                  <c:v>PG</c:v>
                </c:pt>
                <c:pt idx="6">
                  <c:v>TV-PG</c:v>
                </c:pt>
                <c:pt idx="7">
                  <c:v>PG-13</c:v>
                </c:pt>
                <c:pt idx="8">
                  <c:v>TV-14</c:v>
                </c:pt>
                <c:pt idx="9">
                  <c:v>R</c:v>
                </c:pt>
                <c:pt idx="10">
                  <c:v>TV-MA</c:v>
                </c:pt>
                <c:pt idx="11">
                  <c:v>NC-17</c:v>
                </c:pt>
                <c:pt idx="12">
                  <c:v>NR</c:v>
                </c:pt>
                <c:pt idx="13">
                  <c:v>UR</c:v>
                </c:pt>
              </c:strCache>
            </c:strRef>
          </c:cat>
          <c:val>
            <c:numRef>
              <c:f>Ratings!$E$5:$E$18</c:f>
              <c:numCache>
                <c:formatCode>#,##0</c:formatCode>
                <c:ptCount val="14"/>
                <c:pt idx="0">
                  <c:v>306</c:v>
                </c:pt>
                <c:pt idx="1">
                  <c:v>333</c:v>
                </c:pt>
                <c:pt idx="2">
                  <c:v>6</c:v>
                </c:pt>
                <c:pt idx="3">
                  <c:v>41</c:v>
                </c:pt>
                <c:pt idx="4">
                  <c:v>220</c:v>
                </c:pt>
                <c:pt idx="5">
                  <c:v>287</c:v>
                </c:pt>
                <c:pt idx="6">
                  <c:v>861</c:v>
                </c:pt>
                <c:pt idx="7">
                  <c:v>490</c:v>
                </c:pt>
                <c:pt idx="8">
                  <c:v>2157</c:v>
                </c:pt>
                <c:pt idx="9">
                  <c:v>799</c:v>
                </c:pt>
                <c:pt idx="10">
                  <c:v>3205</c:v>
                </c:pt>
                <c:pt idx="11">
                  <c:v>3</c:v>
                </c:pt>
                <c:pt idx="12">
                  <c:v>79</c:v>
                </c:pt>
                <c:pt idx="13">
                  <c:v>3</c:v>
                </c:pt>
              </c:numCache>
            </c:numRef>
          </c:val>
        </c:ser>
        <c:gapWidth val="150"/>
        <c:overlap val="0"/>
        <c:axId val="83718248"/>
        <c:axId val="98490047"/>
      </c:barChart>
      <c:catAx>
        <c:axId val="8371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90047"/>
        <c:crosses val="autoZero"/>
        <c:auto val="1"/>
        <c:lblAlgn val="ctr"/>
        <c:lblOffset val="100"/>
        <c:noMultiLvlLbl val="0"/>
      </c:catAx>
      <c:valAx>
        <c:axId val="98490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182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movies vs % of TV shows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'Audience Groups'!F4</c:f>
              <c:strCache>
                <c:ptCount val="1"/>
                <c:pt idx="0">
                  <c:v>% of movies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'Audience Groups'!$A$5:$A$9</c:f>
              <c:strCache>
                <c:ptCount val="5"/>
                <c:pt idx="0">
                  <c:v>Kids</c:v>
                </c:pt>
                <c:pt idx="1">
                  <c:v>Family</c:v>
                </c:pt>
                <c:pt idx="2">
                  <c:v>Teens</c:v>
                </c:pt>
                <c:pt idx="3">
                  <c:v>Adults</c:v>
                </c:pt>
                <c:pt idx="4">
                  <c:v>Unrated</c:v>
                </c:pt>
              </c:strCache>
            </c:strRef>
          </c:cat>
          <c:val>
            <c:numRef>
              <c:f>'Audience Groups'!$F$5:$F$9</c:f>
              <c:numCache>
                <c:formatCode>0.0%</c:formatCode>
                <c:ptCount val="5"/>
                <c:pt idx="0">
                  <c:v>0.0721514854717597</c:v>
                </c:pt>
                <c:pt idx="1">
                  <c:v>0.134998367613451</c:v>
                </c:pt>
                <c:pt idx="2">
                  <c:v>0.312928501469148</c:v>
                </c:pt>
                <c:pt idx="3">
                  <c:v>0.46718903036239</c:v>
                </c:pt>
                <c:pt idx="4">
                  <c:v>0.0127326150832517</c:v>
                </c:pt>
              </c:numCache>
            </c:numRef>
          </c:val>
        </c:ser>
        <c:ser>
          <c:idx val="1"/>
          <c:order val="1"/>
          <c:tx>
            <c:strRef>
              <c:f>'Audience Groups'!G4</c:f>
              <c:strCache>
                <c:ptCount val="1"/>
                <c:pt idx="0">
                  <c:v>% of TV shows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'Audience Groups'!$A$5:$A$9</c:f>
              <c:strCache>
                <c:ptCount val="5"/>
                <c:pt idx="0">
                  <c:v>Kids</c:v>
                </c:pt>
                <c:pt idx="1">
                  <c:v>Family</c:v>
                </c:pt>
                <c:pt idx="2">
                  <c:v>Teens</c:v>
                </c:pt>
                <c:pt idx="3">
                  <c:v>Adults</c:v>
                </c:pt>
                <c:pt idx="4">
                  <c:v>Unrated</c:v>
                </c:pt>
              </c:strCache>
            </c:strRef>
          </c:cat>
          <c:val>
            <c:numRef>
              <c:f>'Audience Groups'!$G$5:$G$9</c:f>
              <c:numCache>
                <c:formatCode>0.0%</c:formatCode>
                <c:ptCount val="5"/>
                <c:pt idx="0">
                  <c:v>0.174174174174174</c:v>
                </c:pt>
                <c:pt idx="1">
                  <c:v>0.120495495495496</c:v>
                </c:pt>
                <c:pt idx="2">
                  <c:v>0.274024024024024</c:v>
                </c:pt>
                <c:pt idx="3">
                  <c:v>0.429804804804805</c:v>
                </c:pt>
                <c:pt idx="4">
                  <c:v>0.0015015015015015</c:v>
                </c:pt>
              </c:numCache>
            </c:numRef>
          </c:val>
        </c:ser>
        <c:gapWidth val="150"/>
        <c:overlap val="0"/>
        <c:axId val="45204333"/>
        <c:axId val="29832638"/>
      </c:barChart>
      <c:catAx>
        <c:axId val="452043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32638"/>
        <c:crosses val="autoZero"/>
        <c:auto val="1"/>
        <c:lblAlgn val="ctr"/>
        <c:lblOffset val="100"/>
        <c:noMultiLvlLbl val="0"/>
      </c:catAx>
      <c:valAx>
        <c:axId val="29832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043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Genres by audience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Genres!B4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Genres!$A$5:$A$18</c:f>
              <c:strCache>
                <c:ptCount val="14"/>
                <c:pt idx="0">
                  <c:v>Dramas</c:v>
                </c:pt>
                <c:pt idx="1">
                  <c:v>International Movies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Action &amp; Adventure</c:v>
                </c:pt>
                <c:pt idx="5">
                  <c:v>Documentaries</c:v>
                </c:pt>
                <c:pt idx="6">
                  <c:v>Independent Movies</c:v>
                </c:pt>
                <c:pt idx="7">
                  <c:v>Children &amp; Family Movies</c:v>
                </c:pt>
                <c:pt idx="8">
                  <c:v>Thrillers</c:v>
                </c:pt>
                <c:pt idx="9">
                  <c:v>Romantic Movies</c:v>
                </c:pt>
                <c:pt idx="10">
                  <c:v>Crime TV Shows</c:v>
                </c:pt>
                <c:pt idx="11">
                  <c:v>Kids' TV</c:v>
                </c:pt>
                <c:pt idx="12">
                  <c:v>Docuseries</c:v>
                </c:pt>
                <c:pt idx="13">
                  <c:v>Music &amp; Musicals</c:v>
                </c:pt>
              </c:strCache>
            </c:strRef>
          </c:cat>
          <c:val>
            <c:numRef>
              <c:f>Genres!$B$5:$B$18</c:f>
              <c:numCache>
                <c:formatCode>#,##0</c:formatCode>
                <c:ptCount val="14"/>
                <c:pt idx="0">
                  <c:v>46</c:v>
                </c:pt>
                <c:pt idx="1">
                  <c:v>57</c:v>
                </c:pt>
                <c:pt idx="2">
                  <c:v>221</c:v>
                </c:pt>
                <c:pt idx="3">
                  <c:v>27</c:v>
                </c:pt>
                <c:pt idx="4">
                  <c:v>18</c:v>
                </c:pt>
                <c:pt idx="5">
                  <c:v>52</c:v>
                </c:pt>
                <c:pt idx="6">
                  <c:v>5</c:v>
                </c:pt>
                <c:pt idx="7">
                  <c:v>331</c:v>
                </c:pt>
                <c:pt idx="8">
                  <c:v>4</c:v>
                </c:pt>
                <c:pt idx="9">
                  <c:v>17</c:v>
                </c:pt>
                <c:pt idx="10">
                  <c:v>4</c:v>
                </c:pt>
                <c:pt idx="11">
                  <c:v>407</c:v>
                </c:pt>
                <c:pt idx="12">
                  <c:v>24</c:v>
                </c:pt>
                <c:pt idx="13">
                  <c:v>39</c:v>
                </c:pt>
              </c:numCache>
            </c:numRef>
          </c:val>
        </c:ser>
        <c:ser>
          <c:idx val="1"/>
          <c:order val="1"/>
          <c:tx>
            <c:strRef>
              <c:f>Genres!C4</c:f>
              <c:strCache>
                <c:ptCount val="1"/>
                <c:pt idx="0">
                  <c:v>Family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Genres!$A$5:$A$18</c:f>
              <c:strCache>
                <c:ptCount val="14"/>
                <c:pt idx="0">
                  <c:v>Dramas</c:v>
                </c:pt>
                <c:pt idx="1">
                  <c:v>International Movies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Action &amp; Adventure</c:v>
                </c:pt>
                <c:pt idx="5">
                  <c:v>Documentaries</c:v>
                </c:pt>
                <c:pt idx="6">
                  <c:v>Independent Movies</c:v>
                </c:pt>
                <c:pt idx="7">
                  <c:v>Children &amp; Family Movies</c:v>
                </c:pt>
                <c:pt idx="8">
                  <c:v>Thrillers</c:v>
                </c:pt>
                <c:pt idx="9">
                  <c:v>Romantic Movies</c:v>
                </c:pt>
                <c:pt idx="10">
                  <c:v>Crime TV Shows</c:v>
                </c:pt>
                <c:pt idx="11">
                  <c:v>Kids' TV</c:v>
                </c:pt>
                <c:pt idx="12">
                  <c:v>Docuseries</c:v>
                </c:pt>
                <c:pt idx="13">
                  <c:v>Music &amp; Musicals</c:v>
                </c:pt>
              </c:strCache>
            </c:strRef>
          </c:cat>
          <c:val>
            <c:numRef>
              <c:f>Genres!$C$5:$C$18</c:f>
              <c:numCache>
                <c:formatCode>#,##0</c:formatCode>
                <c:ptCount val="14"/>
                <c:pt idx="0">
                  <c:v>318</c:v>
                </c:pt>
                <c:pt idx="1">
                  <c:v>307</c:v>
                </c:pt>
                <c:pt idx="2">
                  <c:v>360</c:v>
                </c:pt>
                <c:pt idx="3">
                  <c:v>134</c:v>
                </c:pt>
                <c:pt idx="4">
                  <c:v>82</c:v>
                </c:pt>
                <c:pt idx="5">
                  <c:v>187</c:v>
                </c:pt>
                <c:pt idx="6">
                  <c:v>41</c:v>
                </c:pt>
                <c:pt idx="7">
                  <c:v>280</c:v>
                </c:pt>
                <c:pt idx="8">
                  <c:v>9</c:v>
                </c:pt>
                <c:pt idx="9">
                  <c:v>95</c:v>
                </c:pt>
                <c:pt idx="10">
                  <c:v>4</c:v>
                </c:pt>
                <c:pt idx="11">
                  <c:v>41</c:v>
                </c:pt>
                <c:pt idx="12">
                  <c:v>98</c:v>
                </c:pt>
                <c:pt idx="13">
                  <c:v>65</c:v>
                </c:pt>
              </c:numCache>
            </c:numRef>
          </c:val>
        </c:ser>
        <c:ser>
          <c:idx val="2"/>
          <c:order val="2"/>
          <c:tx>
            <c:strRef>
              <c:f>Genres!D4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Genres!$A$5:$A$18</c:f>
              <c:strCache>
                <c:ptCount val="14"/>
                <c:pt idx="0">
                  <c:v>Dramas</c:v>
                </c:pt>
                <c:pt idx="1">
                  <c:v>International Movies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Action &amp; Adventure</c:v>
                </c:pt>
                <c:pt idx="5">
                  <c:v>Documentaries</c:v>
                </c:pt>
                <c:pt idx="6">
                  <c:v>Independent Movies</c:v>
                </c:pt>
                <c:pt idx="7">
                  <c:v>Children &amp; Family Movies</c:v>
                </c:pt>
                <c:pt idx="8">
                  <c:v>Thrillers</c:v>
                </c:pt>
                <c:pt idx="9">
                  <c:v>Romantic Movies</c:v>
                </c:pt>
                <c:pt idx="10">
                  <c:v>Crime TV Shows</c:v>
                </c:pt>
                <c:pt idx="11">
                  <c:v>Kids' TV</c:v>
                </c:pt>
                <c:pt idx="12">
                  <c:v>Docuseries</c:v>
                </c:pt>
                <c:pt idx="13">
                  <c:v>Music &amp; Musicals</c:v>
                </c:pt>
              </c:strCache>
            </c:strRef>
          </c:cat>
          <c:val>
            <c:numRef>
              <c:f>Genres!$D$5:$D$18</c:f>
              <c:numCache>
                <c:formatCode>#,##0</c:formatCode>
                <c:ptCount val="14"/>
                <c:pt idx="0">
                  <c:v>1154</c:v>
                </c:pt>
                <c:pt idx="1">
                  <c:v>1119</c:v>
                </c:pt>
                <c:pt idx="2">
                  <c:v>771</c:v>
                </c:pt>
                <c:pt idx="3">
                  <c:v>471</c:v>
                </c:pt>
                <c:pt idx="4">
                  <c:v>405</c:v>
                </c:pt>
                <c:pt idx="5">
                  <c:v>260</c:v>
                </c:pt>
                <c:pt idx="6">
                  <c:v>154</c:v>
                </c:pt>
                <c:pt idx="7">
                  <c:v>29</c:v>
                </c:pt>
                <c:pt idx="8">
                  <c:v>184</c:v>
                </c:pt>
                <c:pt idx="9">
                  <c:v>295</c:v>
                </c:pt>
                <c:pt idx="10">
                  <c:v>110</c:v>
                </c:pt>
                <c:pt idx="11">
                  <c:v>0</c:v>
                </c:pt>
                <c:pt idx="12">
                  <c:v>92</c:v>
                </c:pt>
                <c:pt idx="13">
                  <c:v>129</c:v>
                </c:pt>
              </c:numCache>
            </c:numRef>
          </c:val>
        </c:ser>
        <c:ser>
          <c:idx val="3"/>
          <c:order val="3"/>
          <c:tx>
            <c:strRef>
              <c:f>Genres!E4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Genres!$A$5:$A$18</c:f>
              <c:strCache>
                <c:ptCount val="14"/>
                <c:pt idx="0">
                  <c:v>Dramas</c:v>
                </c:pt>
                <c:pt idx="1">
                  <c:v>International Movies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Action &amp; Adventure</c:v>
                </c:pt>
                <c:pt idx="5">
                  <c:v>Documentaries</c:v>
                </c:pt>
                <c:pt idx="6">
                  <c:v>Independent Movies</c:v>
                </c:pt>
                <c:pt idx="7">
                  <c:v>Children &amp; Family Movies</c:v>
                </c:pt>
                <c:pt idx="8">
                  <c:v>Thrillers</c:v>
                </c:pt>
                <c:pt idx="9">
                  <c:v>Romantic Movies</c:v>
                </c:pt>
                <c:pt idx="10">
                  <c:v>Crime TV Shows</c:v>
                </c:pt>
                <c:pt idx="11">
                  <c:v>Kids' TV</c:v>
                </c:pt>
                <c:pt idx="12">
                  <c:v>Docuseries</c:v>
                </c:pt>
                <c:pt idx="13">
                  <c:v>Music &amp; Musicals</c:v>
                </c:pt>
              </c:strCache>
            </c:strRef>
          </c:cat>
          <c:val>
            <c:numRef>
              <c:f>Genres!$E$5:$E$18</c:f>
              <c:numCache>
                <c:formatCode>#,##0</c:formatCode>
                <c:ptCount val="14"/>
                <c:pt idx="0">
                  <c:v>1640</c:v>
                </c:pt>
                <c:pt idx="1">
                  <c:v>1233</c:v>
                </c:pt>
                <c:pt idx="2">
                  <c:v>880</c:v>
                </c:pt>
                <c:pt idx="3">
                  <c:v>715</c:v>
                </c:pt>
                <c:pt idx="4">
                  <c:v>511</c:v>
                </c:pt>
                <c:pt idx="5">
                  <c:v>348</c:v>
                </c:pt>
                <c:pt idx="6">
                  <c:v>539</c:v>
                </c:pt>
                <c:pt idx="7">
                  <c:v>1</c:v>
                </c:pt>
                <c:pt idx="8">
                  <c:v>433</c:v>
                </c:pt>
                <c:pt idx="9">
                  <c:v>205</c:v>
                </c:pt>
                <c:pt idx="10">
                  <c:v>350</c:v>
                </c:pt>
                <c:pt idx="11">
                  <c:v>0</c:v>
                </c:pt>
                <c:pt idx="12">
                  <c:v>179</c:v>
                </c:pt>
                <c:pt idx="13">
                  <c:v>141</c:v>
                </c:pt>
              </c:numCache>
            </c:numRef>
          </c:val>
        </c:ser>
        <c:ser>
          <c:idx val="4"/>
          <c:order val="4"/>
          <c:tx>
            <c:strRef>
              <c:f>Genres!F4</c:f>
              <c:strCache>
                <c:ptCount val="1"/>
                <c:pt idx="0">
                  <c:v>Unrated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Genres!$A$5:$A$18</c:f>
              <c:strCache>
                <c:ptCount val="14"/>
                <c:pt idx="0">
                  <c:v>Dramas</c:v>
                </c:pt>
                <c:pt idx="1">
                  <c:v>International Movies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Action &amp; Adventure</c:v>
                </c:pt>
                <c:pt idx="5">
                  <c:v>Documentaries</c:v>
                </c:pt>
                <c:pt idx="6">
                  <c:v>Independent Movies</c:v>
                </c:pt>
                <c:pt idx="7">
                  <c:v>Children &amp; Family Movies</c:v>
                </c:pt>
                <c:pt idx="8">
                  <c:v>Thrillers</c:v>
                </c:pt>
                <c:pt idx="9">
                  <c:v>Romantic Movies</c:v>
                </c:pt>
                <c:pt idx="10">
                  <c:v>Crime TV Shows</c:v>
                </c:pt>
                <c:pt idx="11">
                  <c:v>Kids' TV</c:v>
                </c:pt>
                <c:pt idx="12">
                  <c:v>Docuseries</c:v>
                </c:pt>
                <c:pt idx="13">
                  <c:v>Music &amp; Musicals</c:v>
                </c:pt>
              </c:strCache>
            </c:strRef>
          </c:cat>
          <c:val>
            <c:numRef>
              <c:f>Genres!$F$5:$F$18</c:f>
              <c:numCache>
                <c:formatCode>#,##0</c:formatCode>
                <c:ptCount val="14"/>
                <c:pt idx="0">
                  <c:v>30</c:v>
                </c:pt>
                <c:pt idx="1">
                  <c:v>36</c:v>
                </c:pt>
                <c:pt idx="2">
                  <c:v>15</c:v>
                </c:pt>
                <c:pt idx="3">
                  <c:v>2</c:v>
                </c:pt>
                <c:pt idx="4">
                  <c:v>10</c:v>
                </c:pt>
                <c:pt idx="5">
                  <c:v>22</c:v>
                </c:pt>
                <c:pt idx="6">
                  <c:v>17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gapWidth val="150"/>
        <c:overlap val="100"/>
        <c:axId val="62139642"/>
        <c:axId val="23143337"/>
      </c:barChart>
      <c:catAx>
        <c:axId val="621396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43337"/>
        <c:crosses val="autoZero"/>
        <c:auto val="1"/>
        <c:lblAlgn val="ctr"/>
        <c:lblOffset val="100"/>
        <c:noMultiLvlLbl val="0"/>
      </c:catAx>
      <c:valAx>
        <c:axId val="23143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396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Additions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'Yearly Trend'!B4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Trend'!$A$5:$A$11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'Yearly Trend'!$B$5:$B$11</c:f>
              <c:numCache>
                <c:formatCode>#,##0</c:formatCode>
                <c:ptCount val="7"/>
                <c:pt idx="0">
                  <c:v>19</c:v>
                </c:pt>
                <c:pt idx="1">
                  <c:v>65</c:v>
                </c:pt>
                <c:pt idx="2">
                  <c:v>108</c:v>
                </c:pt>
                <c:pt idx="3">
                  <c:v>134</c:v>
                </c:pt>
                <c:pt idx="4">
                  <c:v>157</c:v>
                </c:pt>
                <c:pt idx="5">
                  <c:v>227</c:v>
                </c:pt>
                <c:pt idx="6">
                  <c:v>192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'Yearly Trend'!C4</c:f>
              <c:strCache>
                <c:ptCount val="1"/>
                <c:pt idx="0">
                  <c:v>Family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Trend'!$A$5:$A$11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'Yearly Trend'!$C$5:$C$11</c:f>
              <c:numCache>
                <c:formatCode>#,##0</c:formatCode>
                <c:ptCount val="7"/>
                <c:pt idx="0">
                  <c:v>10</c:v>
                </c:pt>
                <c:pt idx="1">
                  <c:v>53</c:v>
                </c:pt>
                <c:pt idx="2">
                  <c:v>187</c:v>
                </c:pt>
                <c:pt idx="3">
                  <c:v>217</c:v>
                </c:pt>
                <c:pt idx="4">
                  <c:v>279</c:v>
                </c:pt>
                <c:pt idx="5">
                  <c:v>232</c:v>
                </c:pt>
                <c:pt idx="6">
                  <c:v>155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'Yearly Trend'!D4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Trend'!$A$5:$A$11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'Yearly Trend'!$D$5:$D$11</c:f>
              <c:numCache>
                <c:formatCode>#,##0</c:formatCode>
                <c:ptCount val="7"/>
                <c:pt idx="0">
                  <c:v>16</c:v>
                </c:pt>
                <c:pt idx="1">
                  <c:v>104</c:v>
                </c:pt>
                <c:pt idx="2">
                  <c:v>352</c:v>
                </c:pt>
                <c:pt idx="3">
                  <c:v>504</c:v>
                </c:pt>
                <c:pt idx="4">
                  <c:v>629</c:v>
                </c:pt>
                <c:pt idx="5">
                  <c:v>561</c:v>
                </c:pt>
                <c:pt idx="6">
                  <c:v>472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'Yearly Trend'!E4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Trend'!$A$5:$A$11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'Yearly Trend'!$E$5:$E$11</c:f>
              <c:numCache>
                <c:formatCode>#,##0</c:formatCode>
                <c:ptCount val="7"/>
                <c:pt idx="0">
                  <c:v>32</c:v>
                </c:pt>
                <c:pt idx="1">
                  <c:v>177</c:v>
                </c:pt>
                <c:pt idx="2">
                  <c:v>513</c:v>
                </c:pt>
                <c:pt idx="3">
                  <c:v>779</c:v>
                </c:pt>
                <c:pt idx="4">
                  <c:v>945</c:v>
                </c:pt>
                <c:pt idx="5">
                  <c:v>859</c:v>
                </c:pt>
                <c:pt idx="6">
                  <c:v>679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007959"/>
        <c:axId val="9864583"/>
      </c:lineChart>
      <c:catAx>
        <c:axId val="5900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4583"/>
        <c:crosses val="autoZero"/>
        <c:auto val="1"/>
        <c:lblAlgn val="ctr"/>
        <c:lblOffset val="100"/>
        <c:noMultiLvlLbl val="0"/>
      </c:catAx>
      <c:valAx>
        <c:axId val="9864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079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16</xdr:col>
      <xdr:colOff>255960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62503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17</xdr:col>
      <xdr:colOff>255960</xdr:colOff>
      <xdr:row>16</xdr:row>
      <xdr:rowOff>153000</xdr:rowOff>
    </xdr:to>
    <xdr:graphicFrame>
      <xdr:nvGraphicFramePr>
        <xdr:cNvPr id="1" name="Chart 1"/>
        <xdr:cNvGraphicFramePr/>
      </xdr:nvGraphicFramePr>
      <xdr:xfrm>
        <a:off x="72370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131040</xdr:rowOff>
    </xdr:from>
    <xdr:to>
      <xdr:col>23</xdr:col>
      <xdr:colOff>364680</xdr:colOff>
      <xdr:row>22</xdr:row>
      <xdr:rowOff>90000</xdr:rowOff>
    </xdr:to>
    <xdr:graphicFrame>
      <xdr:nvGraphicFramePr>
        <xdr:cNvPr id="2" name="Chart 1"/>
        <xdr:cNvGraphicFramePr/>
      </xdr:nvGraphicFramePr>
      <xdr:xfrm>
        <a:off x="1097280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18</xdr:col>
      <xdr:colOff>255960</xdr:colOff>
      <xdr:row>17</xdr:row>
      <xdr:rowOff>153000</xdr:rowOff>
    </xdr:to>
    <xdr:graphicFrame>
      <xdr:nvGraphicFramePr>
        <xdr:cNvPr id="3" name="Chart 1"/>
        <xdr:cNvGraphicFramePr/>
      </xdr:nvGraphicFramePr>
      <xdr:xfrm>
        <a:off x="688464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Ratings!E19</f>
        <v>8790</v>
      </c>
    </row>
    <row r="6" customFormat="false" ht="15" hidden="false" customHeight="false" outlineLevel="0" collapsed="false">
      <c r="A6" s="4" t="s">
        <v>5</v>
      </c>
      <c r="B6" s="5" t="n">
        <f aca="false">Ratings!C19</f>
        <v>6126</v>
      </c>
    </row>
    <row r="7" customFormat="false" ht="15" hidden="false" customHeight="false" outlineLevel="0" collapsed="false">
      <c r="A7" s="4" t="s">
        <v>6</v>
      </c>
      <c r="B7" s="5" t="n">
        <f aca="false">Ratings!D19</f>
        <v>2664</v>
      </c>
    </row>
    <row r="8" customFormat="false" ht="15" hidden="false" customHeight="false" outlineLevel="0" collapsed="false">
      <c r="A8" s="4" t="s">
        <v>7</v>
      </c>
      <c r="B8" s="6" t="n">
        <f aca="false">'Audience Groups'!E8</f>
        <v>0.455858930602958</v>
      </c>
    </row>
    <row r="9" customFormat="false" ht="15" hidden="false" customHeight="false" outlineLevel="0" collapsed="false">
      <c r="A9" s="4" t="s">
        <v>8</v>
      </c>
      <c r="B9" s="6" t="n">
        <f aca="false">'Audience Groups'!E7</f>
        <v>0.301137656427759</v>
      </c>
    </row>
    <row r="10" customFormat="false" ht="15" hidden="false" customHeight="false" outlineLevel="0" collapsed="false">
      <c r="A10" s="4" t="s">
        <v>9</v>
      </c>
      <c r="B10" s="6" t="n">
        <f aca="false">'Audience Groups'!E6</f>
        <v>0.130602957906712</v>
      </c>
    </row>
    <row r="11" customFormat="false" ht="15" hidden="false" customHeight="false" outlineLevel="0" collapsed="false">
      <c r="A11" s="4" t="s">
        <v>10</v>
      </c>
      <c r="B11" s="6" t="n">
        <f aca="false">'Audience Groups'!E5</f>
        <v>0.103071672354949</v>
      </c>
    </row>
    <row r="12" customFormat="false" ht="15" hidden="false" customHeight="false" outlineLevel="0" collapsed="false">
      <c r="A12" s="4" t="s">
        <v>11</v>
      </c>
      <c r="B12" s="6" t="n">
        <f aca="false">'Audience Groups'!G5</f>
        <v>0.174174174174174</v>
      </c>
    </row>
    <row r="13" customFormat="false" ht="15" hidden="false" customHeight="false" outlineLevel="0" collapsed="false">
      <c r="A13" s="4" t="s">
        <v>12</v>
      </c>
      <c r="B13" s="6" t="n">
        <f aca="false">'Audience Groups'!F5</f>
        <v>0.0721514854717597</v>
      </c>
    </row>
    <row r="14" customFormat="false" ht="15" hidden="false" customHeight="false" outlineLevel="0" collapsed="false">
      <c r="A14" s="4" t="s">
        <v>13</v>
      </c>
      <c r="B14" s="6" t="n">
        <f aca="false">(Ratings!E15+Ratings!E13)/Ratings!E19</f>
        <v>0.610011376564278</v>
      </c>
    </row>
    <row r="16" customFormat="false" ht="15" hidden="false" customHeight="false" outlineLevel="0" collapsed="false">
      <c r="A16" s="7" t="s">
        <v>14</v>
      </c>
    </row>
    <row r="17" customFormat="false" ht="31.5" hidden="false" customHeight="true" outlineLevel="0" collapsed="false">
      <c r="A17" s="8" t="s">
        <v>15</v>
      </c>
      <c r="B17" s="8"/>
      <c r="C17" s="8"/>
      <c r="D17" s="8"/>
      <c r="E17" s="8"/>
      <c r="F17" s="8"/>
    </row>
    <row r="18" customFormat="false" ht="31.5" hidden="false" customHeight="true" outlineLevel="0" collapsed="false">
      <c r="A18" s="8" t="s">
        <v>16</v>
      </c>
      <c r="B18" s="8"/>
      <c r="C18" s="8"/>
      <c r="D18" s="8"/>
      <c r="E18" s="8"/>
      <c r="F18" s="8"/>
    </row>
    <row r="19" customFormat="false" ht="31.5" hidden="false" customHeight="true" outlineLevel="0" collapsed="false">
      <c r="A19" s="8" t="s">
        <v>17</v>
      </c>
      <c r="B19" s="8"/>
      <c r="C19" s="8"/>
      <c r="D19" s="8"/>
      <c r="E19" s="8"/>
      <c r="F19" s="8"/>
    </row>
    <row r="20" customFormat="false" ht="31.5" hidden="false" customHeight="true" outlineLevel="0" collapsed="false">
      <c r="A20" s="8" t="s">
        <v>18</v>
      </c>
      <c r="B20" s="8"/>
      <c r="C20" s="8"/>
      <c r="D20" s="8"/>
      <c r="E20" s="8"/>
      <c r="F20" s="8"/>
    </row>
    <row r="21" customFormat="false" ht="31.5" hidden="false" customHeight="true" outlineLevel="0" collapsed="false">
      <c r="A21" s="8" t="s">
        <v>19</v>
      </c>
      <c r="B21" s="8"/>
      <c r="C21" s="8"/>
      <c r="D21" s="8"/>
      <c r="E21" s="8"/>
      <c r="F21" s="8"/>
    </row>
    <row r="22" customFormat="false" ht="31.5" hidden="false" customHeight="true" outlineLevel="0" collapsed="false">
      <c r="A22" s="8" t="s">
        <v>20</v>
      </c>
      <c r="B22" s="8"/>
      <c r="C22" s="8"/>
      <c r="D22" s="8"/>
      <c r="E22" s="8"/>
      <c r="F22" s="8"/>
    </row>
    <row r="23" customFormat="false" ht="31.5" hidden="false" customHeight="true" outlineLevel="0" collapsed="false">
      <c r="A23" s="8" t="s">
        <v>21</v>
      </c>
      <c r="B23" s="8"/>
      <c r="C23" s="8"/>
      <c r="D23" s="8"/>
      <c r="E23" s="8"/>
      <c r="F23" s="8"/>
    </row>
    <row r="24" customFormat="false" ht="31.5" hidden="false" customHeight="true" outlineLevel="0" collapsed="false">
      <c r="A24" s="8" t="s">
        <v>22</v>
      </c>
      <c r="B24" s="8"/>
      <c r="C24" s="8"/>
      <c r="D24" s="8"/>
      <c r="E24" s="8"/>
      <c r="F24" s="8"/>
    </row>
  </sheetData>
  <mergeCells count="8">
    <mergeCell ref="A17:F17"/>
    <mergeCell ref="A18:F18"/>
    <mergeCell ref="A19:F19"/>
    <mergeCell ref="A20:F20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30" hidden="false" customHeight="true" outlineLevel="0" collapsed="false">
      <c r="A4" s="3" t="s">
        <v>25</v>
      </c>
      <c r="B4" s="3" t="s">
        <v>26</v>
      </c>
      <c r="C4" s="3" t="s">
        <v>5</v>
      </c>
      <c r="D4" s="3" t="s">
        <v>27</v>
      </c>
      <c r="E4" s="3" t="s">
        <v>28</v>
      </c>
      <c r="F4" s="3" t="s">
        <v>29</v>
      </c>
    </row>
    <row r="5" customFormat="false" ht="15" hidden="false" customHeight="false" outlineLevel="0" collapsed="false">
      <c r="A5" s="9" t="s">
        <v>30</v>
      </c>
      <c r="B5" s="4" t="s">
        <v>31</v>
      </c>
      <c r="C5" s="10" t="n">
        <v>131</v>
      </c>
      <c r="D5" s="10" t="n">
        <v>175</v>
      </c>
      <c r="E5" s="11" t="n">
        <f aca="false">C5+D5</f>
        <v>306</v>
      </c>
      <c r="F5" s="12" t="n">
        <f aca="false">E5/$E$19</f>
        <v>0.0348122866894198</v>
      </c>
    </row>
    <row r="6" customFormat="false" ht="15" hidden="false" customHeight="false" outlineLevel="0" collapsed="false">
      <c r="A6" s="9" t="s">
        <v>32</v>
      </c>
      <c r="B6" s="4" t="s">
        <v>31</v>
      </c>
      <c r="C6" s="10" t="n">
        <v>139</v>
      </c>
      <c r="D6" s="10" t="n">
        <v>194</v>
      </c>
      <c r="E6" s="11" t="n">
        <f aca="false">C6+D6</f>
        <v>333</v>
      </c>
      <c r="F6" s="12" t="n">
        <f aca="false">E6/$E$19</f>
        <v>0.0378839590443686</v>
      </c>
    </row>
    <row r="7" customFormat="false" ht="15" hidden="false" customHeight="false" outlineLevel="0" collapsed="false">
      <c r="A7" s="9" t="s">
        <v>33</v>
      </c>
      <c r="B7" s="4" t="s">
        <v>31</v>
      </c>
      <c r="C7" s="10" t="n">
        <v>5</v>
      </c>
      <c r="D7" s="10" t="n">
        <v>1</v>
      </c>
      <c r="E7" s="11" t="n">
        <f aca="false">C7+D7</f>
        <v>6</v>
      </c>
      <c r="F7" s="12" t="n">
        <f aca="false">E7/$E$19</f>
        <v>0.00068259385665529</v>
      </c>
    </row>
    <row r="8" customFormat="false" ht="15" hidden="false" customHeight="false" outlineLevel="0" collapsed="false">
      <c r="A8" s="9" t="s">
        <v>34</v>
      </c>
      <c r="B8" s="4" t="s">
        <v>31</v>
      </c>
      <c r="C8" s="10" t="n">
        <v>41</v>
      </c>
      <c r="D8" s="10" t="n">
        <v>0</v>
      </c>
      <c r="E8" s="11" t="n">
        <f aca="false">C8+D8</f>
        <v>41</v>
      </c>
      <c r="F8" s="12" t="n">
        <f aca="false">E8/$E$19</f>
        <v>0.00466439135381115</v>
      </c>
    </row>
    <row r="9" customFormat="false" ht="15" hidden="false" customHeight="false" outlineLevel="0" collapsed="false">
      <c r="A9" s="9" t="s">
        <v>35</v>
      </c>
      <c r="B9" s="4" t="s">
        <v>31</v>
      </c>
      <c r="C9" s="10" t="n">
        <v>126</v>
      </c>
      <c r="D9" s="10" t="n">
        <v>94</v>
      </c>
      <c r="E9" s="11" t="n">
        <f aca="false">C9+D9</f>
        <v>220</v>
      </c>
      <c r="F9" s="12" t="n">
        <f aca="false">E9/$E$19</f>
        <v>0.025028441410694</v>
      </c>
    </row>
    <row r="10" customFormat="false" ht="15" hidden="false" customHeight="false" outlineLevel="0" collapsed="false">
      <c r="A10" s="9" t="s">
        <v>36</v>
      </c>
      <c r="B10" s="4" t="s">
        <v>37</v>
      </c>
      <c r="C10" s="10" t="n">
        <v>287</v>
      </c>
      <c r="D10" s="10" t="n">
        <v>0</v>
      </c>
      <c r="E10" s="11" t="n">
        <f aca="false">C10+D10</f>
        <v>287</v>
      </c>
      <c r="F10" s="12" t="n">
        <f aca="false">E10/$E$19</f>
        <v>0.032650739476678</v>
      </c>
    </row>
    <row r="11" customFormat="false" ht="15" hidden="false" customHeight="false" outlineLevel="0" collapsed="false">
      <c r="A11" s="9" t="s">
        <v>38</v>
      </c>
      <c r="B11" s="4" t="s">
        <v>37</v>
      </c>
      <c r="C11" s="10" t="n">
        <v>540</v>
      </c>
      <c r="D11" s="10" t="n">
        <v>321</v>
      </c>
      <c r="E11" s="11" t="n">
        <f aca="false">C11+D11</f>
        <v>861</v>
      </c>
      <c r="F11" s="12" t="n">
        <f aca="false">E11/$E$19</f>
        <v>0.0979522184300341</v>
      </c>
    </row>
    <row r="12" customFormat="false" ht="15" hidden="false" customHeight="false" outlineLevel="0" collapsed="false">
      <c r="A12" s="9" t="s">
        <v>39</v>
      </c>
      <c r="B12" s="4" t="s">
        <v>40</v>
      </c>
      <c r="C12" s="10" t="n">
        <v>490</v>
      </c>
      <c r="D12" s="10" t="n">
        <v>0</v>
      </c>
      <c r="E12" s="11" t="n">
        <f aca="false">C12+D12</f>
        <v>490</v>
      </c>
      <c r="F12" s="12" t="n">
        <f aca="false">E12/$E$19</f>
        <v>0.055745164960182</v>
      </c>
    </row>
    <row r="13" customFormat="false" ht="15" hidden="false" customHeight="false" outlineLevel="0" collapsed="false">
      <c r="A13" s="9" t="s">
        <v>41</v>
      </c>
      <c r="B13" s="4" t="s">
        <v>40</v>
      </c>
      <c r="C13" s="10" t="n">
        <v>1427</v>
      </c>
      <c r="D13" s="10" t="n">
        <v>730</v>
      </c>
      <c r="E13" s="11" t="n">
        <f aca="false">C13+D13</f>
        <v>2157</v>
      </c>
      <c r="F13" s="12" t="n">
        <f aca="false">E13/$E$19</f>
        <v>0.245392491467577</v>
      </c>
    </row>
    <row r="14" customFormat="false" ht="15" hidden="false" customHeight="false" outlineLevel="0" collapsed="false">
      <c r="A14" s="9" t="s">
        <v>42</v>
      </c>
      <c r="B14" s="4" t="s">
        <v>43</v>
      </c>
      <c r="C14" s="10" t="n">
        <v>797</v>
      </c>
      <c r="D14" s="10" t="n">
        <v>2</v>
      </c>
      <c r="E14" s="11" t="n">
        <f aca="false">C14+D14</f>
        <v>799</v>
      </c>
      <c r="F14" s="12" t="n">
        <f aca="false">E14/$E$19</f>
        <v>0.0908987485779295</v>
      </c>
    </row>
    <row r="15" customFormat="false" ht="15" hidden="false" customHeight="false" outlineLevel="0" collapsed="false">
      <c r="A15" s="9" t="s">
        <v>44</v>
      </c>
      <c r="B15" s="4" t="s">
        <v>43</v>
      </c>
      <c r="C15" s="10" t="n">
        <v>2062</v>
      </c>
      <c r="D15" s="10" t="n">
        <v>1143</v>
      </c>
      <c r="E15" s="11" t="n">
        <f aca="false">C15+D15</f>
        <v>3205</v>
      </c>
      <c r="F15" s="12" t="n">
        <f aca="false">E15/$E$19</f>
        <v>0.364618885096701</v>
      </c>
    </row>
    <row r="16" customFormat="false" ht="15" hidden="false" customHeight="false" outlineLevel="0" collapsed="false">
      <c r="A16" s="9" t="s">
        <v>45</v>
      </c>
      <c r="B16" s="4" t="s">
        <v>43</v>
      </c>
      <c r="C16" s="10" t="n">
        <v>3</v>
      </c>
      <c r="D16" s="10" t="n">
        <v>0</v>
      </c>
      <c r="E16" s="11" t="n">
        <f aca="false">C16+D16</f>
        <v>3</v>
      </c>
      <c r="F16" s="12" t="n">
        <f aca="false">E16/$E$19</f>
        <v>0.000341296928327645</v>
      </c>
    </row>
    <row r="17" customFormat="false" ht="15" hidden="false" customHeight="false" outlineLevel="0" collapsed="false">
      <c r="A17" s="9" t="s">
        <v>46</v>
      </c>
      <c r="B17" s="4" t="s">
        <v>47</v>
      </c>
      <c r="C17" s="10" t="n">
        <v>75</v>
      </c>
      <c r="D17" s="10" t="n">
        <v>4</v>
      </c>
      <c r="E17" s="11" t="n">
        <f aca="false">C17+D17</f>
        <v>79</v>
      </c>
      <c r="F17" s="12" t="n">
        <f aca="false">E17/$E$19</f>
        <v>0.00898748577929465</v>
      </c>
    </row>
    <row r="18" customFormat="false" ht="15" hidden="false" customHeight="false" outlineLevel="0" collapsed="false">
      <c r="A18" s="9" t="s">
        <v>48</v>
      </c>
      <c r="B18" s="4" t="s">
        <v>47</v>
      </c>
      <c r="C18" s="10" t="n">
        <v>3</v>
      </c>
      <c r="D18" s="10" t="n">
        <v>0</v>
      </c>
      <c r="E18" s="11" t="n">
        <f aca="false">C18+D18</f>
        <v>3</v>
      </c>
      <c r="F18" s="12" t="n">
        <f aca="false">E18/$E$19</f>
        <v>0.000341296928327645</v>
      </c>
    </row>
    <row r="19" customFormat="false" ht="15" hidden="false" customHeight="false" outlineLevel="0" collapsed="false">
      <c r="A19" s="13" t="s">
        <v>28</v>
      </c>
      <c r="B19" s="14"/>
      <c r="C19" s="15" t="n">
        <f aca="false">SUM(C5:C18)</f>
        <v>6126</v>
      </c>
      <c r="D19" s="15" t="n">
        <f aca="false">SUM(D5:D18)</f>
        <v>2664</v>
      </c>
      <c r="E19" s="15" t="n">
        <f aca="false">SUM(E5:E18)</f>
        <v>8790</v>
      </c>
      <c r="F19" s="16" t="n">
        <f aca="false">SUM(F5:F18)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0" hidden="false" customHeight="true" outlineLevel="0" collapsed="false">
      <c r="A4" s="3" t="s">
        <v>51</v>
      </c>
      <c r="B4" s="3" t="s">
        <v>5</v>
      </c>
      <c r="C4" s="3" t="s">
        <v>27</v>
      </c>
      <c r="D4" s="3" t="s">
        <v>28</v>
      </c>
      <c r="E4" s="3" t="s">
        <v>52</v>
      </c>
      <c r="F4" s="3" t="s">
        <v>53</v>
      </c>
      <c r="G4" s="3" t="s">
        <v>54</v>
      </c>
    </row>
    <row r="5" customFormat="false" ht="15" hidden="false" customHeight="false" outlineLevel="0" collapsed="false">
      <c r="A5" s="9" t="s">
        <v>31</v>
      </c>
      <c r="B5" s="11" t="n">
        <f aca="false">SUMIFS(Ratings!$C$5:$C$18,Ratings!$B$5:$B$18,$A5)</f>
        <v>442</v>
      </c>
      <c r="C5" s="11" t="n">
        <f aca="false">SUMIFS(Ratings!$D$5:$D$18,Ratings!$B$5:$B$18,$A5)</f>
        <v>464</v>
      </c>
      <c r="D5" s="11" t="n">
        <f aca="false">B5+C5</f>
        <v>906</v>
      </c>
      <c r="E5" s="12" t="n">
        <f aca="false">D5/D$10</f>
        <v>0.103071672354949</v>
      </c>
      <c r="F5" s="12" t="n">
        <f aca="false">B5/B$10</f>
        <v>0.0721514854717597</v>
      </c>
      <c r="G5" s="12" t="n">
        <f aca="false">C5/C$10</f>
        <v>0.174174174174174</v>
      </c>
    </row>
    <row r="6" customFormat="false" ht="15" hidden="false" customHeight="false" outlineLevel="0" collapsed="false">
      <c r="A6" s="9" t="s">
        <v>37</v>
      </c>
      <c r="B6" s="11" t="n">
        <f aca="false">SUMIFS(Ratings!$C$5:$C$18,Ratings!$B$5:$B$18,$A6)</f>
        <v>827</v>
      </c>
      <c r="C6" s="11" t="n">
        <f aca="false">SUMIFS(Ratings!$D$5:$D$18,Ratings!$B$5:$B$18,$A6)</f>
        <v>321</v>
      </c>
      <c r="D6" s="11" t="n">
        <f aca="false">B6+C6</f>
        <v>1148</v>
      </c>
      <c r="E6" s="12" t="n">
        <f aca="false">D6/D$10</f>
        <v>0.130602957906712</v>
      </c>
      <c r="F6" s="12" t="n">
        <f aca="false">B6/B$10</f>
        <v>0.134998367613451</v>
      </c>
      <c r="G6" s="12" t="n">
        <f aca="false">C6/C$10</f>
        <v>0.120495495495496</v>
      </c>
    </row>
    <row r="7" customFormat="false" ht="15" hidden="false" customHeight="false" outlineLevel="0" collapsed="false">
      <c r="A7" s="9" t="s">
        <v>40</v>
      </c>
      <c r="B7" s="11" t="n">
        <f aca="false">SUMIFS(Ratings!$C$5:$C$18,Ratings!$B$5:$B$18,$A7)</f>
        <v>1917</v>
      </c>
      <c r="C7" s="11" t="n">
        <f aca="false">SUMIFS(Ratings!$D$5:$D$18,Ratings!$B$5:$B$18,$A7)</f>
        <v>730</v>
      </c>
      <c r="D7" s="11" t="n">
        <f aca="false">B7+C7</f>
        <v>2647</v>
      </c>
      <c r="E7" s="12" t="n">
        <f aca="false">D7/D$10</f>
        <v>0.301137656427759</v>
      </c>
      <c r="F7" s="12" t="n">
        <f aca="false">B7/B$10</f>
        <v>0.312928501469148</v>
      </c>
      <c r="G7" s="12" t="n">
        <f aca="false">C7/C$10</f>
        <v>0.274024024024024</v>
      </c>
    </row>
    <row r="8" customFormat="false" ht="15" hidden="false" customHeight="false" outlineLevel="0" collapsed="false">
      <c r="A8" s="9" t="s">
        <v>43</v>
      </c>
      <c r="B8" s="11" t="n">
        <f aca="false">SUMIFS(Ratings!$C$5:$C$18,Ratings!$B$5:$B$18,$A8)</f>
        <v>2862</v>
      </c>
      <c r="C8" s="11" t="n">
        <f aca="false">SUMIFS(Ratings!$D$5:$D$18,Ratings!$B$5:$B$18,$A8)</f>
        <v>1145</v>
      </c>
      <c r="D8" s="11" t="n">
        <f aca="false">B8+C8</f>
        <v>4007</v>
      </c>
      <c r="E8" s="12" t="n">
        <f aca="false">D8/D$10</f>
        <v>0.455858930602958</v>
      </c>
      <c r="F8" s="12" t="n">
        <f aca="false">B8/B$10</f>
        <v>0.46718903036239</v>
      </c>
      <c r="G8" s="12" t="n">
        <f aca="false">C8/C$10</f>
        <v>0.429804804804805</v>
      </c>
    </row>
    <row r="9" customFormat="false" ht="15" hidden="false" customHeight="false" outlineLevel="0" collapsed="false">
      <c r="A9" s="9" t="s">
        <v>47</v>
      </c>
      <c r="B9" s="11" t="n">
        <f aca="false">SUMIFS(Ratings!$C$5:$C$18,Ratings!$B$5:$B$18,$A9)</f>
        <v>78</v>
      </c>
      <c r="C9" s="11" t="n">
        <f aca="false">SUMIFS(Ratings!$D$5:$D$18,Ratings!$B$5:$B$18,$A9)</f>
        <v>4</v>
      </c>
      <c r="D9" s="11" t="n">
        <f aca="false">B9+C9</f>
        <v>82</v>
      </c>
      <c r="E9" s="12" t="n">
        <f aca="false">D9/D$10</f>
        <v>0.0093287827076223</v>
      </c>
      <c r="F9" s="12" t="n">
        <f aca="false">B9/B$10</f>
        <v>0.0127326150832517</v>
      </c>
      <c r="G9" s="12" t="n">
        <f aca="false">C9/C$10</f>
        <v>0.0015015015015015</v>
      </c>
    </row>
    <row r="10" customFormat="false" ht="15" hidden="false" customHeight="false" outlineLevel="0" collapsed="false">
      <c r="A10" s="13" t="s">
        <v>28</v>
      </c>
      <c r="B10" s="15" t="n">
        <f aca="false">SUM(B5:B9)</f>
        <v>6126</v>
      </c>
      <c r="C10" s="15" t="n">
        <f aca="false">SUM(C5:C9)</f>
        <v>2664</v>
      </c>
      <c r="D10" s="15" t="n">
        <f aca="false">SUM(D5:D9)</f>
        <v>8790</v>
      </c>
      <c r="E10" s="16" t="n">
        <f aca="false">SUM(E5:E9)</f>
        <v>1</v>
      </c>
      <c r="F10" s="16" t="n">
        <f aca="false">SUM(F5:F9)</f>
        <v>1</v>
      </c>
      <c r="G10" s="16" t="n">
        <f aca="false">SUM(G5:G9)</f>
        <v>1</v>
      </c>
    </row>
    <row r="12" customFormat="false" ht="15" hidden="false" customHeight="false" outlineLevel="0" collapsed="false">
      <c r="A12" s="7" t="s">
        <v>55</v>
      </c>
    </row>
    <row r="13" customFormat="false" ht="15" hidden="false" customHeight="false" outlineLevel="0" collapsed="false">
      <c r="A13" s="3" t="s">
        <v>51</v>
      </c>
      <c r="B13" s="3" t="s">
        <v>56</v>
      </c>
    </row>
    <row r="14" customFormat="false" ht="15" hidden="false" customHeight="false" outlineLevel="0" collapsed="false">
      <c r="A14" s="17" t="str">
        <f aca="false">A5</f>
        <v>Kids</v>
      </c>
      <c r="B14" s="18" t="n">
        <f aca="false">(G5-F5)*100</f>
        <v>10.2022688702414</v>
      </c>
    </row>
    <row r="15" customFormat="false" ht="15" hidden="false" customHeight="false" outlineLevel="0" collapsed="false">
      <c r="A15" s="17" t="str">
        <f aca="false">A6</f>
        <v>Family</v>
      </c>
      <c r="B15" s="18" t="n">
        <f aca="false">(G6-F6)*100</f>
        <v>-1.45028721179554</v>
      </c>
    </row>
    <row r="16" customFormat="false" ht="15" hidden="false" customHeight="false" outlineLevel="0" collapsed="false">
      <c r="A16" s="17" t="str">
        <f aca="false">A7</f>
        <v>Teens</v>
      </c>
      <c r="B16" s="18" t="n">
        <f aca="false">(G7-F7)*100</f>
        <v>-3.89044774451239</v>
      </c>
    </row>
    <row r="17" customFormat="false" ht="15" hidden="false" customHeight="false" outlineLevel="0" collapsed="false">
      <c r="A17" s="17" t="str">
        <f aca="false">A8</f>
        <v>Adults</v>
      </c>
      <c r="B17" s="18" t="n">
        <f aca="false">(G8-F8)*100</f>
        <v>-3.7384225557585</v>
      </c>
    </row>
    <row r="18" customFormat="false" ht="15" hidden="false" customHeight="false" outlineLevel="0" collapsed="false">
      <c r="A18" s="17" t="str">
        <f aca="false">A9</f>
        <v>Unrated</v>
      </c>
      <c r="B18" s="18" t="n">
        <f aca="false">(G9-F9)*100</f>
        <v>-1.12311135817502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11"/>
  </cols>
  <sheetData>
    <row r="1" customFormat="false" ht="19.7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0" hidden="false" customHeight="true" outlineLevel="0" collapsed="false">
      <c r="A4" s="3" t="s">
        <v>59</v>
      </c>
      <c r="B4" s="3" t="s">
        <v>31</v>
      </c>
      <c r="C4" s="3" t="s">
        <v>37</v>
      </c>
      <c r="D4" s="3" t="s">
        <v>40</v>
      </c>
      <c r="E4" s="3" t="s">
        <v>43</v>
      </c>
      <c r="F4" s="3" t="s">
        <v>47</v>
      </c>
      <c r="G4" s="3" t="s">
        <v>28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</row>
    <row r="5" customFormat="false" ht="15" hidden="false" customHeight="false" outlineLevel="0" collapsed="false">
      <c r="A5" s="9" t="s">
        <v>65</v>
      </c>
      <c r="B5" s="10" t="n">
        <v>46</v>
      </c>
      <c r="C5" s="10" t="n">
        <v>318</v>
      </c>
      <c r="D5" s="10" t="n">
        <v>1154</v>
      </c>
      <c r="E5" s="10" t="n">
        <v>1640</v>
      </c>
      <c r="F5" s="10" t="n">
        <v>30</v>
      </c>
      <c r="G5" s="11" t="n">
        <f aca="false">SUM(B5:F5)</f>
        <v>3188</v>
      </c>
      <c r="H5" s="19" t="n">
        <f aca="false">B5/$G5</f>
        <v>0.0144291091593476</v>
      </c>
      <c r="I5" s="19" t="n">
        <f aca="false">C5/$G5</f>
        <v>0.0997490589711418</v>
      </c>
      <c r="J5" s="19" t="n">
        <f aca="false">D5/$G5</f>
        <v>0.36198243412798</v>
      </c>
      <c r="K5" s="19" t="n">
        <f aca="false">E5/$G5</f>
        <v>0.514429109159348</v>
      </c>
      <c r="L5" s="19" t="n">
        <f aca="false">F5/$G5</f>
        <v>0.00941028858218319</v>
      </c>
    </row>
    <row r="6" customFormat="false" ht="15" hidden="false" customHeight="false" outlineLevel="0" collapsed="false">
      <c r="A6" s="9" t="s">
        <v>66</v>
      </c>
      <c r="B6" s="10" t="n">
        <v>57</v>
      </c>
      <c r="C6" s="10" t="n">
        <v>307</v>
      </c>
      <c r="D6" s="10" t="n">
        <v>1119</v>
      </c>
      <c r="E6" s="10" t="n">
        <v>1233</v>
      </c>
      <c r="F6" s="10" t="n">
        <v>36</v>
      </c>
      <c r="G6" s="11" t="n">
        <f aca="false">SUM(B6:F6)</f>
        <v>2752</v>
      </c>
      <c r="H6" s="19" t="n">
        <f aca="false">B6/$G6</f>
        <v>0.0207122093023256</v>
      </c>
      <c r="I6" s="19" t="n">
        <f aca="false">C6/$G6</f>
        <v>0.11155523255814</v>
      </c>
      <c r="J6" s="19" t="n">
        <f aca="false">D6/$G6</f>
        <v>0.406613372093023</v>
      </c>
      <c r="K6" s="19" t="n">
        <f aca="false">E6/$G6</f>
        <v>0.448037790697674</v>
      </c>
      <c r="L6" s="19" t="n">
        <f aca="false">F6/$G6</f>
        <v>0.0130813953488372</v>
      </c>
    </row>
    <row r="7" customFormat="false" ht="15" hidden="false" customHeight="false" outlineLevel="0" collapsed="false">
      <c r="A7" s="9" t="s">
        <v>67</v>
      </c>
      <c r="B7" s="10" t="n">
        <v>221</v>
      </c>
      <c r="C7" s="10" t="n">
        <v>360</v>
      </c>
      <c r="D7" s="10" t="n">
        <v>771</v>
      </c>
      <c r="E7" s="10" t="n">
        <v>880</v>
      </c>
      <c r="F7" s="10" t="n">
        <v>15</v>
      </c>
      <c r="G7" s="11" t="n">
        <f aca="false">SUM(B7:F7)</f>
        <v>2247</v>
      </c>
      <c r="H7" s="19" t="n">
        <f aca="false">B7/$G7</f>
        <v>0.098353360035603</v>
      </c>
      <c r="I7" s="19" t="n">
        <f aca="false">C7/$G7</f>
        <v>0.160213618157543</v>
      </c>
      <c r="J7" s="19" t="n">
        <f aca="false">D7/$G7</f>
        <v>0.343124165554072</v>
      </c>
      <c r="K7" s="19" t="n">
        <f aca="false">E7/$G7</f>
        <v>0.391633288829551</v>
      </c>
      <c r="L7" s="19" t="n">
        <f aca="false">F7/$G7</f>
        <v>0.00667556742323098</v>
      </c>
    </row>
    <row r="8" customFormat="false" ht="15" hidden="false" customHeight="false" outlineLevel="0" collapsed="false">
      <c r="A8" s="9" t="s">
        <v>68</v>
      </c>
      <c r="B8" s="10" t="n">
        <v>27</v>
      </c>
      <c r="C8" s="10" t="n">
        <v>134</v>
      </c>
      <c r="D8" s="10" t="n">
        <v>471</v>
      </c>
      <c r="E8" s="10" t="n">
        <v>715</v>
      </c>
      <c r="F8" s="10" t="n">
        <v>2</v>
      </c>
      <c r="G8" s="11" t="n">
        <f aca="false">SUM(B8:F8)</f>
        <v>1349</v>
      </c>
      <c r="H8" s="19" t="n">
        <f aca="false">B8/$G8</f>
        <v>0.0200148257968866</v>
      </c>
      <c r="I8" s="19" t="n">
        <f aca="false">C8/$G8</f>
        <v>0.0993328391401038</v>
      </c>
      <c r="J8" s="19" t="n">
        <f aca="false">D8/$G8</f>
        <v>0.349147516679022</v>
      </c>
      <c r="K8" s="19" t="n">
        <f aca="false">E8/$G8</f>
        <v>0.53002223869533</v>
      </c>
      <c r="L8" s="19" t="n">
        <f aca="false">F8/$G8</f>
        <v>0.00148257968865827</v>
      </c>
    </row>
    <row r="9" customFormat="false" ht="15" hidden="false" customHeight="false" outlineLevel="0" collapsed="false">
      <c r="A9" s="9" t="s">
        <v>69</v>
      </c>
      <c r="B9" s="10" t="n">
        <v>18</v>
      </c>
      <c r="C9" s="10" t="n">
        <v>82</v>
      </c>
      <c r="D9" s="10" t="n">
        <v>405</v>
      </c>
      <c r="E9" s="10" t="n">
        <v>511</v>
      </c>
      <c r="F9" s="10" t="n">
        <v>10</v>
      </c>
      <c r="G9" s="11" t="n">
        <f aca="false">SUM(B9:F9)</f>
        <v>1026</v>
      </c>
      <c r="H9" s="19" t="n">
        <f aca="false">B9/$G9</f>
        <v>0.0175438596491228</v>
      </c>
      <c r="I9" s="19" t="n">
        <f aca="false">C9/$G9</f>
        <v>0.0799220272904483</v>
      </c>
      <c r="J9" s="19" t="n">
        <f aca="false">D9/$G9</f>
        <v>0.394736842105263</v>
      </c>
      <c r="K9" s="19" t="n">
        <f aca="false">E9/$G9</f>
        <v>0.498050682261209</v>
      </c>
      <c r="L9" s="19" t="n">
        <f aca="false">F9/$G9</f>
        <v>0.00974658869395711</v>
      </c>
    </row>
    <row r="10" customFormat="false" ht="15" hidden="false" customHeight="false" outlineLevel="0" collapsed="false">
      <c r="A10" s="9" t="s">
        <v>70</v>
      </c>
      <c r="B10" s="10" t="n">
        <v>52</v>
      </c>
      <c r="C10" s="10" t="n">
        <v>187</v>
      </c>
      <c r="D10" s="10" t="n">
        <v>260</v>
      </c>
      <c r="E10" s="10" t="n">
        <v>348</v>
      </c>
      <c r="F10" s="10" t="n">
        <v>22</v>
      </c>
      <c r="G10" s="11" t="n">
        <f aca="false">SUM(B10:F10)</f>
        <v>869</v>
      </c>
      <c r="H10" s="19" t="n">
        <f aca="false">B10/$G10</f>
        <v>0.0598388952819333</v>
      </c>
      <c r="I10" s="19" t="n">
        <f aca="false">C10/$G10</f>
        <v>0.215189873417722</v>
      </c>
      <c r="J10" s="19" t="n">
        <f aca="false">D10/$G10</f>
        <v>0.299194476409666</v>
      </c>
      <c r="K10" s="19" t="n">
        <f aca="false">E10/$G10</f>
        <v>0.400460299194476</v>
      </c>
      <c r="L10" s="19" t="n">
        <f aca="false">F10/$G10</f>
        <v>0.0253164556962025</v>
      </c>
    </row>
    <row r="11" customFormat="false" ht="15" hidden="false" customHeight="false" outlineLevel="0" collapsed="false">
      <c r="A11" s="9" t="s">
        <v>71</v>
      </c>
      <c r="B11" s="10" t="n">
        <v>5</v>
      </c>
      <c r="C11" s="10" t="n">
        <v>41</v>
      </c>
      <c r="D11" s="10" t="n">
        <v>154</v>
      </c>
      <c r="E11" s="10" t="n">
        <v>539</v>
      </c>
      <c r="F11" s="10" t="n">
        <v>17</v>
      </c>
      <c r="G11" s="11" t="n">
        <f aca="false">SUM(B11:F11)</f>
        <v>756</v>
      </c>
      <c r="H11" s="19" t="n">
        <f aca="false">B11/$G11</f>
        <v>0.00661375661375661</v>
      </c>
      <c r="I11" s="19" t="n">
        <f aca="false">C11/$G11</f>
        <v>0.0542328042328042</v>
      </c>
      <c r="J11" s="19" t="n">
        <f aca="false">D11/$G11</f>
        <v>0.203703703703704</v>
      </c>
      <c r="K11" s="19" t="n">
        <f aca="false">E11/$G11</f>
        <v>0.712962962962963</v>
      </c>
      <c r="L11" s="19" t="n">
        <f aca="false">F11/$G11</f>
        <v>0.0224867724867725</v>
      </c>
    </row>
    <row r="12" customFormat="false" ht="15" hidden="false" customHeight="false" outlineLevel="0" collapsed="false">
      <c r="A12" s="9" t="s">
        <v>72</v>
      </c>
      <c r="B12" s="10" t="n">
        <v>331</v>
      </c>
      <c r="C12" s="10" t="n">
        <v>280</v>
      </c>
      <c r="D12" s="10" t="n">
        <v>29</v>
      </c>
      <c r="E12" s="10" t="n">
        <v>1</v>
      </c>
      <c r="F12" s="10" t="n">
        <v>0</v>
      </c>
      <c r="G12" s="11" t="n">
        <f aca="false">SUM(B12:F12)</f>
        <v>641</v>
      </c>
      <c r="H12" s="19" t="n">
        <f aca="false">B12/$G12</f>
        <v>0.516380655226209</v>
      </c>
      <c r="I12" s="19" t="n">
        <f aca="false">C12/$G12</f>
        <v>0.436817472698908</v>
      </c>
      <c r="J12" s="19" t="n">
        <f aca="false">D12/$G12</f>
        <v>0.0452418096723869</v>
      </c>
      <c r="K12" s="19" t="n">
        <f aca="false">E12/$G12</f>
        <v>0.0015600624024961</v>
      </c>
      <c r="L12" s="19" t="n">
        <f aca="false">F12/$G12</f>
        <v>0</v>
      </c>
    </row>
    <row r="13" customFormat="false" ht="15" hidden="false" customHeight="false" outlineLevel="0" collapsed="false">
      <c r="A13" s="9" t="s">
        <v>73</v>
      </c>
      <c r="B13" s="10" t="n">
        <v>4</v>
      </c>
      <c r="C13" s="10" t="n">
        <v>9</v>
      </c>
      <c r="D13" s="10" t="n">
        <v>184</v>
      </c>
      <c r="E13" s="10" t="n">
        <v>433</v>
      </c>
      <c r="F13" s="10" t="n">
        <v>4</v>
      </c>
      <c r="G13" s="11" t="n">
        <f aca="false">SUM(B13:F13)</f>
        <v>634</v>
      </c>
      <c r="H13" s="19" t="n">
        <f aca="false">B13/$G13</f>
        <v>0.00630914826498423</v>
      </c>
      <c r="I13" s="19" t="n">
        <f aca="false">C13/$G13</f>
        <v>0.0141955835962145</v>
      </c>
      <c r="J13" s="19" t="n">
        <f aca="false">D13/$G13</f>
        <v>0.290220820189275</v>
      </c>
      <c r="K13" s="19" t="n">
        <f aca="false">E13/$G13</f>
        <v>0.682965299684543</v>
      </c>
      <c r="L13" s="19" t="n">
        <f aca="false">F13/$G13</f>
        <v>0.00630914826498423</v>
      </c>
    </row>
    <row r="14" customFormat="false" ht="15" hidden="false" customHeight="false" outlineLevel="0" collapsed="false">
      <c r="A14" s="9" t="s">
        <v>74</v>
      </c>
      <c r="B14" s="10" t="n">
        <v>17</v>
      </c>
      <c r="C14" s="10" t="n">
        <v>95</v>
      </c>
      <c r="D14" s="10" t="n">
        <v>295</v>
      </c>
      <c r="E14" s="10" t="n">
        <v>205</v>
      </c>
      <c r="F14" s="10" t="n">
        <v>4</v>
      </c>
      <c r="G14" s="11" t="n">
        <f aca="false">SUM(B14:F14)</f>
        <v>616</v>
      </c>
      <c r="H14" s="19" t="n">
        <f aca="false">B14/$G14</f>
        <v>0.0275974025974026</v>
      </c>
      <c r="I14" s="19" t="n">
        <f aca="false">C14/$G14</f>
        <v>0.154220779220779</v>
      </c>
      <c r="J14" s="19" t="n">
        <f aca="false">D14/$G14</f>
        <v>0.478896103896104</v>
      </c>
      <c r="K14" s="19" t="n">
        <f aca="false">E14/$G14</f>
        <v>0.332792207792208</v>
      </c>
      <c r="L14" s="19" t="n">
        <f aca="false">F14/$G14</f>
        <v>0.00649350649350649</v>
      </c>
    </row>
    <row r="15" customFormat="false" ht="15" hidden="false" customHeight="false" outlineLevel="0" collapsed="false">
      <c r="A15" s="9" t="s">
        <v>75</v>
      </c>
      <c r="B15" s="10" t="n">
        <v>4</v>
      </c>
      <c r="C15" s="10" t="n">
        <v>4</v>
      </c>
      <c r="D15" s="10" t="n">
        <v>110</v>
      </c>
      <c r="E15" s="10" t="n">
        <v>350</v>
      </c>
      <c r="F15" s="10" t="n">
        <v>1</v>
      </c>
      <c r="G15" s="11" t="n">
        <f aca="false">SUM(B15:F15)</f>
        <v>469</v>
      </c>
      <c r="H15" s="19" t="n">
        <f aca="false">B15/$G15</f>
        <v>0.00852878464818763</v>
      </c>
      <c r="I15" s="19" t="n">
        <f aca="false">C15/$G15</f>
        <v>0.00852878464818763</v>
      </c>
      <c r="J15" s="19" t="n">
        <f aca="false">D15/$G15</f>
        <v>0.23454157782516</v>
      </c>
      <c r="K15" s="19" t="n">
        <f aca="false">E15/$G15</f>
        <v>0.746268656716418</v>
      </c>
      <c r="L15" s="19" t="n">
        <f aca="false">F15/$G15</f>
        <v>0.00213219616204691</v>
      </c>
    </row>
    <row r="16" customFormat="false" ht="15" hidden="false" customHeight="false" outlineLevel="0" collapsed="false">
      <c r="A16" s="9" t="s">
        <v>76</v>
      </c>
      <c r="B16" s="10" t="n">
        <v>407</v>
      </c>
      <c r="C16" s="10" t="n">
        <v>41</v>
      </c>
      <c r="D16" s="10" t="n">
        <v>0</v>
      </c>
      <c r="E16" s="10" t="n">
        <v>0</v>
      </c>
      <c r="F16" s="10" t="n">
        <v>0</v>
      </c>
      <c r="G16" s="11" t="n">
        <f aca="false">SUM(B16:F16)</f>
        <v>448</v>
      </c>
      <c r="H16" s="19" t="n">
        <f aca="false">B16/$G16</f>
        <v>0.908482142857143</v>
      </c>
      <c r="I16" s="19" t="n">
        <f aca="false">C16/$G16</f>
        <v>0.0915178571428571</v>
      </c>
      <c r="J16" s="19" t="n">
        <f aca="false">D16/$G16</f>
        <v>0</v>
      </c>
      <c r="K16" s="19" t="n">
        <f aca="false">E16/$G16</f>
        <v>0</v>
      </c>
      <c r="L16" s="19" t="n">
        <f aca="false">F16/$G16</f>
        <v>0</v>
      </c>
    </row>
    <row r="17" customFormat="false" ht="15" hidden="false" customHeight="false" outlineLevel="0" collapsed="false">
      <c r="A17" s="9" t="s">
        <v>77</v>
      </c>
      <c r="B17" s="10" t="n">
        <v>24</v>
      </c>
      <c r="C17" s="10" t="n">
        <v>98</v>
      </c>
      <c r="D17" s="10" t="n">
        <v>92</v>
      </c>
      <c r="E17" s="10" t="n">
        <v>179</v>
      </c>
      <c r="F17" s="10" t="n">
        <v>1</v>
      </c>
      <c r="G17" s="11" t="n">
        <f aca="false">SUM(B17:F17)</f>
        <v>394</v>
      </c>
      <c r="H17" s="19" t="n">
        <f aca="false">B17/$G17</f>
        <v>0.0609137055837564</v>
      </c>
      <c r="I17" s="19" t="n">
        <f aca="false">C17/$G17</f>
        <v>0.248730964467005</v>
      </c>
      <c r="J17" s="19" t="n">
        <f aca="false">D17/$G17</f>
        <v>0.233502538071066</v>
      </c>
      <c r="K17" s="19" t="n">
        <f aca="false">E17/$G17</f>
        <v>0.454314720812183</v>
      </c>
      <c r="L17" s="19" t="n">
        <f aca="false">F17/$G17</f>
        <v>0.00253807106598985</v>
      </c>
    </row>
    <row r="18" customFormat="false" ht="15" hidden="false" customHeight="false" outlineLevel="0" collapsed="false">
      <c r="A18" s="9" t="s">
        <v>78</v>
      </c>
      <c r="B18" s="10" t="n">
        <v>39</v>
      </c>
      <c r="C18" s="10" t="n">
        <v>65</v>
      </c>
      <c r="D18" s="10" t="n">
        <v>129</v>
      </c>
      <c r="E18" s="10" t="n">
        <v>141</v>
      </c>
      <c r="F18" s="10" t="n">
        <v>1</v>
      </c>
      <c r="G18" s="11" t="n">
        <f aca="false">SUM(B18:F18)</f>
        <v>375</v>
      </c>
      <c r="H18" s="19" t="n">
        <f aca="false">B18/$G18</f>
        <v>0.104</v>
      </c>
      <c r="I18" s="19" t="n">
        <f aca="false">C18/$G18</f>
        <v>0.173333333333333</v>
      </c>
      <c r="J18" s="19" t="n">
        <f aca="false">D18/$G18</f>
        <v>0.344</v>
      </c>
      <c r="K18" s="19" t="n">
        <f aca="false">E18/$G18</f>
        <v>0.376</v>
      </c>
      <c r="L18" s="19" t="n">
        <f aca="false">F18/$G18</f>
        <v>0.00266666666666667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1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3" t="s">
        <v>81</v>
      </c>
      <c r="B4" s="3" t="s">
        <v>31</v>
      </c>
      <c r="C4" s="3" t="s">
        <v>37</v>
      </c>
      <c r="D4" s="3" t="s">
        <v>40</v>
      </c>
      <c r="E4" s="3" t="s">
        <v>43</v>
      </c>
      <c r="F4" s="3" t="s">
        <v>47</v>
      </c>
      <c r="G4" s="3" t="s">
        <v>28</v>
      </c>
      <c r="H4" s="3" t="s">
        <v>63</v>
      </c>
    </row>
    <row r="5" customFormat="false" ht="15" hidden="false" customHeight="false" outlineLevel="0" collapsed="false">
      <c r="A5" s="9" t="s">
        <v>82</v>
      </c>
      <c r="B5" s="10" t="n">
        <v>19</v>
      </c>
      <c r="C5" s="10" t="n">
        <v>10</v>
      </c>
      <c r="D5" s="10" t="n">
        <v>16</v>
      </c>
      <c r="E5" s="10" t="n">
        <v>32</v>
      </c>
      <c r="F5" s="10" t="n">
        <v>5</v>
      </c>
      <c r="G5" s="11" t="n">
        <f aca="false">SUM(B5:F5)</f>
        <v>82</v>
      </c>
      <c r="H5" s="12" t="n">
        <f aca="false">E5/G5</f>
        <v>0.390243902439024</v>
      </c>
    </row>
    <row r="6" customFormat="false" ht="15" hidden="false" customHeight="false" outlineLevel="0" collapsed="false">
      <c r="A6" s="9" t="s">
        <v>83</v>
      </c>
      <c r="B6" s="10" t="n">
        <v>65</v>
      </c>
      <c r="C6" s="10" t="n">
        <v>53</v>
      </c>
      <c r="D6" s="10" t="n">
        <v>104</v>
      </c>
      <c r="E6" s="10" t="n">
        <v>177</v>
      </c>
      <c r="F6" s="10" t="n">
        <v>27</v>
      </c>
      <c r="G6" s="11" t="n">
        <f aca="false">SUM(B6:F6)</f>
        <v>426</v>
      </c>
      <c r="H6" s="12" t="n">
        <f aca="false">E6/G6</f>
        <v>0.415492957746479</v>
      </c>
    </row>
    <row r="7" customFormat="false" ht="15" hidden="false" customHeight="false" outlineLevel="0" collapsed="false">
      <c r="A7" s="9" t="s">
        <v>84</v>
      </c>
      <c r="B7" s="10" t="n">
        <v>108</v>
      </c>
      <c r="C7" s="10" t="n">
        <v>187</v>
      </c>
      <c r="D7" s="10" t="n">
        <v>352</v>
      </c>
      <c r="E7" s="10" t="n">
        <v>513</v>
      </c>
      <c r="F7" s="10" t="n">
        <v>25</v>
      </c>
      <c r="G7" s="11" t="n">
        <f aca="false">SUM(B7:F7)</f>
        <v>1185</v>
      </c>
      <c r="H7" s="12" t="n">
        <f aca="false">E7/G7</f>
        <v>0.432911392405063</v>
      </c>
    </row>
    <row r="8" customFormat="false" ht="15" hidden="false" customHeight="false" outlineLevel="0" collapsed="false">
      <c r="A8" s="9" t="s">
        <v>85</v>
      </c>
      <c r="B8" s="10" t="n">
        <v>134</v>
      </c>
      <c r="C8" s="10" t="n">
        <v>217</v>
      </c>
      <c r="D8" s="10" t="n">
        <v>504</v>
      </c>
      <c r="E8" s="10" t="n">
        <v>779</v>
      </c>
      <c r="F8" s="10" t="n">
        <v>14</v>
      </c>
      <c r="G8" s="11" t="n">
        <f aca="false">SUM(B8:F8)</f>
        <v>1648</v>
      </c>
      <c r="H8" s="12" t="n">
        <f aca="false">E8/G8</f>
        <v>0.472694174757282</v>
      </c>
    </row>
    <row r="9" customFormat="false" ht="15" hidden="false" customHeight="false" outlineLevel="0" collapsed="false">
      <c r="A9" s="9" t="s">
        <v>86</v>
      </c>
      <c r="B9" s="10" t="n">
        <v>157</v>
      </c>
      <c r="C9" s="10" t="n">
        <v>279</v>
      </c>
      <c r="D9" s="10" t="n">
        <v>629</v>
      </c>
      <c r="E9" s="10" t="n">
        <v>945</v>
      </c>
      <c r="F9" s="10" t="n">
        <v>6</v>
      </c>
      <c r="G9" s="11" t="n">
        <f aca="false">SUM(B9:F9)</f>
        <v>2016</v>
      </c>
      <c r="H9" s="12" t="n">
        <f aca="false">E9/G9</f>
        <v>0.46875</v>
      </c>
    </row>
    <row r="10" customFormat="false" ht="15" hidden="false" customHeight="false" outlineLevel="0" collapsed="false">
      <c r="A10" s="9" t="s">
        <v>87</v>
      </c>
      <c r="B10" s="10" t="n">
        <v>227</v>
      </c>
      <c r="C10" s="10" t="n">
        <v>232</v>
      </c>
      <c r="D10" s="10" t="n">
        <v>561</v>
      </c>
      <c r="E10" s="10" t="n">
        <v>859</v>
      </c>
      <c r="F10" s="10" t="n">
        <v>0</v>
      </c>
      <c r="G10" s="11" t="n">
        <f aca="false">SUM(B10:F10)</f>
        <v>1879</v>
      </c>
      <c r="H10" s="12" t="n">
        <f aca="false">E10/G10</f>
        <v>0.457158062799361</v>
      </c>
    </row>
    <row r="11" customFormat="false" ht="15" hidden="false" customHeight="false" outlineLevel="0" collapsed="false">
      <c r="A11" s="9" t="s">
        <v>88</v>
      </c>
      <c r="B11" s="10" t="n">
        <v>192</v>
      </c>
      <c r="C11" s="10" t="n">
        <v>155</v>
      </c>
      <c r="D11" s="10" t="n">
        <v>472</v>
      </c>
      <c r="E11" s="10" t="n">
        <v>679</v>
      </c>
      <c r="F11" s="10" t="n">
        <v>0</v>
      </c>
      <c r="G11" s="11" t="n">
        <f aca="false">SUM(B11:F11)</f>
        <v>1498</v>
      </c>
      <c r="H11" s="12" t="n">
        <f aca="false">E11/G11</f>
        <v>0.453271028037383</v>
      </c>
    </row>
    <row r="13" customFormat="false" ht="15" hidden="false" customHeight="false" outlineLevel="0" collapsed="false">
      <c r="A13" s="7" t="s">
        <v>89</v>
      </c>
      <c r="B13" s="20" t="str">
        <f aca="false">INDEX($A$5:$A$11,MATCH(MAX(B5:B11),B5:B11,0))</f>
        <v>2020</v>
      </c>
      <c r="C13" s="20" t="str">
        <f aca="false">INDEX($A$5:$A$11,MATCH(MAX(C5:C11),C5:C11,0))</f>
        <v>2019</v>
      </c>
      <c r="D13" s="20" t="str">
        <f aca="false">INDEX($A$5:$A$11,MATCH(MAX(D5:D11),D5:D11,0))</f>
        <v>2019</v>
      </c>
      <c r="E13" s="20" t="str">
        <f aca="false">INDEX($A$5:$A$11,MATCH(MAX(E5:E11),E5:E11,0))</f>
        <v>2019</v>
      </c>
      <c r="F13" s="20" t="str">
        <f aca="false">INDEX($A$5:$A$11,MATCH(MAX(F5:F11),F5:F11,0))</f>
        <v>2016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2026-10-28T15:53:00Z</dcterms:created>
  <dc:creator>openpyxl</dc:creator>
  <dc:description/>
  <dc:language>en-US</dc:language>
  <cp:lastModifiedBy/>
  <dcterms:modified xsi:type="dcterms:W3CDTF">2026-10-28T15:53:04Z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